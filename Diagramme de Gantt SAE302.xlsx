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1.xml" ContentType="application/vnd.openxmlformats-officedocument.customXmlProperties+xml"/>
  <Override PartName="/customXml/item1.xml" ContentType="application/xml"/>
  <Override PartName="/customXml/itemProps2.xml" ContentType="application/vnd.openxmlformats-officedocument.customXmlProperties+xml"/>
  <Override PartName="/customXml/item3.xml" ContentType="application/xml"/>
  <Override PartName="/customXml/item2.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ningProjet" sheetId="1" state="visible" r:id="rId3"/>
  </sheets>
  <definedNames>
    <definedName function="false" hidden="false" localSheetId="0" name="_xlnm.Print_Titles" vbProcedure="false">PlanningProjet!$4:$6</definedName>
    <definedName function="false" hidden="false" name="Début_Projet" vbProcedure="false">PlanningProjet!$E$3</definedName>
    <definedName function="false" hidden="false" name="Semaine_Affichage" vbProcedure="false">PlanningProjet!$E$4</definedName>
    <definedName function="false" hidden="false" localSheetId="0" name="avancement_tâche" vbProcedure="false">PlanningProjet!$D1</definedName>
    <definedName function="false" hidden="false" localSheetId="0" name="ce_jour" vbProcedure="false">TODAY()</definedName>
    <definedName function="false" hidden="false" localSheetId="0" name="début_tâche" vbProcedure="false">PlanningProjet!$E1</definedName>
    <definedName function="false" hidden="false" localSheetId="0" name="fin_tâche" vbProcedure="false">PlanningProjet!$F1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<sst xmlns="http://schemas.openxmlformats.org/spreadsheetml/2006/main" count="52" uniqueCount="43">
  <si>
    <t xml:space="preserve">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</si>
  <si>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 xml:space="preserve">SAE 302 Conception d’une architecture
distribuée avec routage en oignon</t>
  </si>
  <si>
    <t xml:space="preserve">Entrez le nom de la société dans la cellule B2.</t>
  </si>
  <si>
    <t xml:space="preserve">Entrez le nom du chef de projet dans la cellule B3. Entrez la date de début du projet dans la cellule E3. Début du projet : l’étiquette figure dans la cellule C3.</t>
  </si>
  <si>
    <t xml:space="preserve">HARTMANN Quentin &amp; KOUAME Akaza</t>
  </si>
  <si>
    <t xml:space="preserve">Début du projet</t>
  </si>
  <si>
    <t xml:space="preserve">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</si>
  <si>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 xml:space="preserve">Nom du groupe : Pingouins</t>
  </si>
  <si>
    <t xml:space="preserve">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</si>
  <si>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 xml:space="preserve">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</si>
  <si>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TÂCHE</t>
  </si>
  <si>
    <t xml:space="preserve">ATTRIBUÉE
À</t>
  </si>
  <si>
    <t xml:space="preserve">AVANCEMENT</t>
  </si>
  <si>
    <t xml:space="preserve">DÉBUT</t>
  </si>
  <si>
    <t xml:space="preserve">FIN</t>
  </si>
  <si>
    <t xml:space="preserve">JOURS</t>
  </si>
  <si>
    <t xml:space="preserve">Ne supprimez pas cette ligne. Cette ligne est masquée afin de préserver une formule utilisée pour mettre en évidence le jour en cours au sein du planning de projet. </t>
  </si>
  <si>
    <t xml:space="preserve">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</si>
  <si>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Phase 1 – Préparation du projet</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</si>
  <si>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</si>
  <si>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 xml:space="preserve">Lecture du sujet et analyse du cahier des charges</t>
  </si>
  <si>
    <t xml:space="preserve">Tous</t>
  </si>
  <si>
    <t xml:space="preserve">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</si>
  <si>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 xml:space="preserve">Définition de l’architecture (Master, Routeurs, Clients)</t>
  </si>
  <si>
    <t xml:space="preserve">Conception du schéma de base de données MariaDB</t>
  </si>
  <si>
    <t xml:space="preserve">Quentin</t>
  </si>
  <si>
    <t xml:space="preserve">Rédaction du dossier préparatoire et rendu PDF</t>
  </si>
  <si>
    <t xml:space="preserve">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</si>
  <si>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 xml:space="preserve">Phase 2 – Développement technique</t>
  </si>
  <si>
    <t xml:space="preserve">Développement du Master (sockets, threads, BDD)</t>
  </si>
  <si>
    <t xml:space="preserve">Développement des Routeurs (multi-thread, déchiffrement)</t>
  </si>
  <si>
    <t xml:space="preserve">Développement du Client (Qt + chiffrement en couches)</t>
  </si>
  <si>
    <t xml:space="preserve">Akaza</t>
  </si>
  <si>
    <t xml:space="preserve">Tests unitaires et intégration (multi-routeurs, anonymisation)</t>
  </si>
  <si>
    <t xml:space="preserve">Exemple de bloc de titre de phase</t>
  </si>
  <si>
    <t xml:space="preserve">Phase 3 – Finalisation et rendu</t>
  </si>
  <si>
    <t xml:space="preserve">Documentation technique et utilisateur</t>
  </si>
  <si>
    <t xml:space="preserve">Vidéo de démonstration et commentaire oral</t>
  </si>
  <si>
    <t xml:space="preserve">Finalisation du dépôt GitHub (README, commits finaux)</t>
  </si>
  <si>
    <t xml:space="preserve">Test global sur plusieurs VM et rendu Moodle</t>
  </si>
  <si>
    <t xml:space="preserve">Ceci est une ligne vide.</t>
  </si>
  <si>
    <t xml:space="preserve">Cette ligne marque la fin du planning de projet. N’ENTREZ rien dans cette ligne. 
Insérez de nouvelles lignes au-dessus de celle-ci pour continuer d’élaborer votre planning de projet.</t>
  </si>
  <si>
    <t xml:space="preserve">Insérez les nouvelle lignes au-dessus de celle-ci.</t>
  </si>
</sst>
</file>

<file path=xl/styles.xml><?xml version="1.0" encoding="utf-8"?>
<styleSheet xmlns="http://schemas.openxmlformats.org/spreadsheetml/2006/main">
  <numFmts count="6">
    <numFmt numFmtId="164" formatCode="General"/>
    <numFmt numFmtId="165" formatCode="d/m/yy;@"/>
    <numFmt numFmtId="166" formatCode="ddd&quot;, &quot;m/d/yyyy"/>
    <numFmt numFmtId="167" formatCode="d\ mmm\ yyyy"/>
    <numFmt numFmtId="168" formatCode="d"/>
    <numFmt numFmtId="169" formatCode="0\ %"/>
  </numFmts>
  <fonts count="21">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b val="true"/>
      <sz val="22"/>
      <color theme="1" tint="0.3499"/>
      <name val="Calibri"/>
      <family val="2"/>
      <charset val="1"/>
    </font>
    <font>
      <sz val="10"/>
      <name val="Calibri"/>
      <family val="2"/>
      <charset val="1"/>
    </font>
    <font>
      <b val="true"/>
      <sz val="11"/>
      <name val="Calibri"/>
      <family val="2"/>
      <charset val="1"/>
    </font>
    <font>
      <sz val="14"/>
      <color theme="1"/>
      <name val="Calibri"/>
      <family val="2"/>
      <charset val="1"/>
    </font>
    <font>
      <u val="single"/>
      <sz val="11"/>
      <color rgb="FF0000FF"/>
      <name val="Arial"/>
      <family val="2"/>
      <charset val="1"/>
    </font>
    <font>
      <sz val="10"/>
      <name val="Arial"/>
      <family val="2"/>
      <charset val="1"/>
    </font>
    <font>
      <sz val="14"/>
      <color theme="1"/>
      <name val="Calibri (Corps)"/>
      <family val="0"/>
      <charset val="1"/>
    </font>
    <font>
      <sz val="9"/>
      <name val="Calibri"/>
      <family val="2"/>
      <charset val="1"/>
    </font>
    <font>
      <b val="true"/>
      <sz val="9"/>
      <color theme="0"/>
      <name val="Calibri"/>
      <family val="2"/>
      <charset val="1"/>
    </font>
    <font>
      <sz val="8"/>
      <color theme="0"/>
      <name val="Calibri"/>
      <family val="2"/>
      <charset val="1"/>
    </font>
    <font>
      <b val="true"/>
      <sz val="11"/>
      <color theme="1"/>
      <name val="Calibri"/>
      <family val="2"/>
      <charset val="1"/>
    </font>
    <font>
      <sz val="11"/>
      <name val="Calibri"/>
      <family val="2"/>
      <charset val="1"/>
    </font>
    <font>
      <i val="true"/>
      <sz val="9"/>
      <color theme="1"/>
      <name val="Calibri"/>
      <family val="2"/>
      <charset val="1"/>
    </font>
    <font>
      <sz val="10"/>
      <color theme="1" tint="0.4999"/>
      <name val="Calibri"/>
      <family val="2"/>
      <charset val="1"/>
    </font>
    <font>
      <b val="true"/>
      <sz val="11"/>
      <color theme="1" tint="0.4999"/>
      <name val="Calibri"/>
      <family val="2"/>
      <charset val="1"/>
    </font>
    <font>
      <sz val="10"/>
      <color theme="1" tint="0.4999"/>
      <name val="Arial"/>
      <family val="2"/>
      <charset val="1"/>
    </font>
  </fonts>
  <fills count="11">
    <fill>
      <patternFill patternType="none"/>
    </fill>
    <fill>
      <patternFill patternType="gray125"/>
    </fill>
    <fill>
      <patternFill patternType="solid">
        <fgColor theme="0" tint="-0.15"/>
        <bgColor rgb="FFD7E4BD"/>
      </patternFill>
    </fill>
    <fill>
      <patternFill patternType="solid">
        <fgColor theme="1" tint="0.3499"/>
        <bgColor rgb="FF8064A2"/>
      </patternFill>
    </fill>
    <fill>
      <patternFill patternType="solid">
        <fgColor theme="4" tint="0.5999"/>
        <bgColor rgb="FFD9D9D9"/>
      </patternFill>
    </fill>
    <fill>
      <patternFill patternType="solid">
        <fgColor theme="4" tint="0.7999"/>
        <bgColor rgb="FFD9D9D9"/>
      </patternFill>
    </fill>
    <fill>
      <patternFill patternType="solid">
        <fgColor theme="5" tint="0.5999"/>
        <bgColor rgb="FFD9D9D9"/>
      </patternFill>
    </fill>
    <fill>
      <patternFill patternType="solid">
        <fgColor theme="5" tint="0.7999"/>
        <bgColor rgb="FFD9D9D9"/>
      </patternFill>
    </fill>
    <fill>
      <patternFill patternType="solid">
        <fgColor theme="6" tint="0.5999"/>
        <bgColor rgb="FFD9D9D9"/>
      </patternFill>
    </fill>
    <fill>
      <patternFill patternType="solid">
        <fgColor theme="6" tint="0.7999"/>
        <bgColor rgb="FFF2F2F2"/>
      </patternFill>
    </fill>
    <fill>
      <patternFill patternType="solid">
        <fgColor theme="0" tint="-0.05"/>
        <bgColor rgb="FFEBF1DE"/>
      </patternFill>
    </fill>
  </fills>
  <borders count="11">
    <border diagonalUp="false" diagonalDown="false">
      <left/>
      <right/>
      <top/>
      <bottom/>
      <diagonal/>
    </border>
    <border diagonalUp="false" diagonalDown="false">
      <left/>
      <right/>
      <top style="medium">
        <color theme="0" tint="-0.15"/>
      </top>
      <bottom style="medium">
        <color theme="0" tint="-0.1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right/>
      <top/>
      <bottom style="thin">
        <color theme="0" tint="-0.35"/>
      </bottom>
      <diagonal/>
    </border>
    <border diagonalUp="false" diagonalDown="false">
      <left style="thin">
        <color theme="0" tint="-0.35"/>
      </left>
      <right/>
      <top/>
      <bottom/>
      <diagonal/>
    </border>
    <border diagonalUp="false" diagonalDown="false">
      <left/>
      <right style="thin">
        <color theme="0" tint="-0.35"/>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style="medium">
        <color theme="0" tint="-0.15"/>
      </bottom>
      <diagonal/>
    </border>
    <border diagonalUp="false" diagonalDown="false">
      <left style="thin">
        <color theme="0" tint="-0.15"/>
      </left>
      <right style="thin">
        <color theme="0" tint="-0.15"/>
      </right>
      <top style="medium">
        <color theme="0" tint="-0.15"/>
      </top>
      <bottom style="medium">
        <color theme="0" tint="-0.15"/>
      </bottom>
      <diagonal/>
    </border>
    <border diagonalUp="false" diagonalDown="false">
      <left/>
      <right style="thin">
        <color theme="0" tint="-0.15"/>
      </right>
      <top style="medium">
        <color theme="0" tint="-0.15"/>
      </top>
      <bottom style="medium">
        <color theme="0" tint="-0.15"/>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5"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left" vertical="center" textRotation="0" wrapText="false" indent="2"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8" fillId="0" borderId="0" applyFont="true" applyBorder="true" applyAlignment="true" applyProtection="false">
      <alignment horizontal="general" vertical="bottom" textRotation="0" wrapText="false" indent="0" shrinkToFit="false"/>
    </xf>
    <xf numFmtId="164" fontId="8" fillId="0" borderId="0" applyFont="true" applyBorder="true" applyAlignment="true" applyProtection="false">
      <alignment horizontal="general" vertical="top" textRotation="0" wrapText="false" indent="0" shrinkToFit="false"/>
    </xf>
    <xf numFmtId="164" fontId="0" fillId="0" borderId="0" applyFont="true" applyBorder="true" applyAlignment="true" applyProtection="false">
      <alignment horizontal="right" vertical="bottom" textRotation="0" wrapText="false" indent="1" shrinkToFit="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25" applyFont="true" applyBorder="false" applyAlignment="true" applyProtection="false">
      <alignment horizontal="general" vertical="bottom" textRotation="0" wrapText="true" indent="0" shrinkToFit="false"/>
      <protection locked="true" hidden="false"/>
    </xf>
    <xf numFmtId="164" fontId="5" fillId="0" borderId="0" xfId="26"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27" applyFont="true" applyBorder="true" applyAlignment="true" applyProtection="true">
      <alignment horizontal="center" vertical="bottom" textRotation="0" wrapText="true" indent="0" shrinkToFit="false"/>
      <protection locked="true" hidden="false"/>
    </xf>
    <xf numFmtId="164" fontId="10" fillId="0" borderId="0" xfId="20" applyFont="true" applyBorder="true" applyAlignment="true" applyProtection="true">
      <alignment horizontal="general" vertical="top" textRotation="0" wrapText="false" indent="0" shrinkToFit="false"/>
      <protection locked="true" hidden="false"/>
    </xf>
    <xf numFmtId="164" fontId="8" fillId="0" borderId="0" xfId="28" applyFont="true" applyBorder="false" applyAlignment="true" applyProtection="true">
      <alignment horizontal="center" vertical="center" textRotation="0" wrapText="false" indent="0" shrinkToFit="false"/>
      <protection locked="true" hidden="false"/>
    </xf>
    <xf numFmtId="164" fontId="0" fillId="0" borderId="0" xfId="29" applyFont="true" applyBorder="false" applyAlignment="true" applyProtection="true">
      <alignment horizontal="general" vertical="bottom" textRotation="0" wrapText="false" indent="0" shrinkToFit="false"/>
      <protection locked="true" hidden="false"/>
    </xf>
    <xf numFmtId="164" fontId="0" fillId="0" borderId="0" xfId="29" applyFont="true" applyBorder="true" applyAlignment="true" applyProtection="true">
      <alignment horizontal="center" vertical="center" textRotation="0" wrapText="false" indent="0" shrinkToFit="false"/>
      <protection locked="true" hidden="false"/>
    </xf>
    <xf numFmtId="166" fontId="0" fillId="0" borderId="0" xfId="22"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0" fillId="0" borderId="0" xfId="29" applyFont="true" applyBorder="true" applyAlignment="true" applyProtection="true">
      <alignment horizontal="right" vertical="bottom" textRotation="0" wrapText="false" indent="1" shrinkToFit="false"/>
      <protection locked="true" hidden="false"/>
    </xf>
    <xf numFmtId="167" fontId="0" fillId="2" borderId="3" xfId="0" applyFont="false" applyBorder="true" applyAlignment="true" applyProtection="false">
      <alignment horizontal="left" vertical="center" textRotation="0" wrapText="true" indent="1"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8" fontId="12" fillId="2" borderId="5" xfId="0" applyFont="true" applyBorder="true" applyAlignment="true" applyProtection="false">
      <alignment horizontal="center" vertical="center" textRotation="0" wrapText="false" indent="0" shrinkToFit="false"/>
      <protection locked="true" hidden="false"/>
    </xf>
    <xf numFmtId="168" fontId="12" fillId="2" borderId="0" xfId="0" applyFont="true" applyBorder="false" applyAlignment="true" applyProtection="false">
      <alignment horizontal="center" vertical="center" textRotation="0" wrapText="false" indent="0" shrinkToFit="false"/>
      <protection locked="true" hidden="false"/>
    </xf>
    <xf numFmtId="168" fontId="12" fillId="2" borderId="6" xfId="0" applyFont="true" applyBorder="true" applyAlignment="true" applyProtection="false">
      <alignment horizontal="center" vertical="center" textRotation="0" wrapText="false" indent="0" shrinkToFit="false"/>
      <protection locked="true" hidden="false"/>
    </xf>
    <xf numFmtId="164" fontId="13" fillId="3" borderId="7" xfId="0" applyFont="true" applyBorder="true" applyAlignment="true" applyProtection="false">
      <alignment horizontal="left" vertical="center" textRotation="0" wrapText="false" indent="1" shrinkToFit="false"/>
      <protection locked="true" hidden="false"/>
    </xf>
    <xf numFmtId="164" fontId="13" fillId="3" borderId="7" xfId="0" applyFont="true" applyBorder="true" applyAlignment="true" applyProtection="false">
      <alignment horizontal="center" vertical="center" textRotation="0" wrapText="true" indent="0" shrinkToFit="false"/>
      <protection locked="true" hidden="false"/>
    </xf>
    <xf numFmtId="164" fontId="14" fillId="3" borderId="8" xfId="0" applyFont="true" applyBorder="true" applyAlignment="true" applyProtection="false">
      <alignment horizontal="center" vertical="center" textRotation="0" wrapText="false" indent="0" shrinkToFit="tru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9" xfId="0" applyFont="false" applyBorder="true" applyAlignment="true" applyProtection="false">
      <alignment horizontal="general" vertical="center" textRotation="0" wrapText="false" indent="0" shrinkToFit="false"/>
      <protection locked="true" hidden="false"/>
    </xf>
    <xf numFmtId="164" fontId="15" fillId="4" borderId="1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5" borderId="1" xfId="24" applyFont="true" applyBorder="true" applyAlignment="true" applyProtection="false">
      <alignment horizontal="left" vertical="center" textRotation="0" wrapText="false" indent="2" shrinkToFit="false"/>
      <protection locked="true" hidden="false"/>
    </xf>
    <xf numFmtId="164" fontId="0" fillId="5" borderId="1" xfId="23" applyFont="true" applyBorder="true" applyAlignment="true" applyProtection="false">
      <alignment horizontal="center" vertical="center" textRotation="0" wrapText="false" indent="0" shrinkToFit="false"/>
      <protection locked="true" hidden="false"/>
    </xf>
    <xf numFmtId="169" fontId="16" fillId="5" borderId="1" xfId="19" applyFont="true" applyBorder="true" applyAlignment="true" applyProtection="true">
      <alignment horizontal="center" vertical="center" textRotation="0" wrapText="false" indent="0" shrinkToFit="false"/>
      <protection locked="true" hidden="false"/>
    </xf>
    <xf numFmtId="165" fontId="0" fillId="5" borderId="1" xfId="21"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right" vertical="center" textRotation="0" wrapText="false" indent="0" shrinkToFit="false"/>
      <protection locked="true" hidden="false"/>
    </xf>
    <xf numFmtId="164" fontId="15" fillId="6" borderId="10" xfId="0" applyFont="true" applyBorder="true" applyAlignment="true" applyProtection="false">
      <alignment horizontal="center" vertical="center" textRotation="0" wrapText="false" indent="0" shrinkToFit="false"/>
      <protection locked="true" hidden="false"/>
    </xf>
    <xf numFmtId="164" fontId="0" fillId="7" borderId="1" xfId="24" applyFont="true" applyBorder="true" applyAlignment="true" applyProtection="false">
      <alignment horizontal="left" vertical="center" textRotation="0" wrapText="false" indent="2" shrinkToFit="false"/>
      <protection locked="true" hidden="false"/>
    </xf>
    <xf numFmtId="164" fontId="0" fillId="7" borderId="1" xfId="23" applyFont="true" applyBorder="true" applyAlignment="true" applyProtection="false">
      <alignment horizontal="center" vertical="center" textRotation="0" wrapText="false" indent="0" shrinkToFit="false"/>
      <protection locked="true" hidden="false"/>
    </xf>
    <xf numFmtId="169" fontId="16" fillId="7" borderId="1" xfId="19" applyFont="true" applyBorder="true" applyAlignment="true" applyProtection="true">
      <alignment horizontal="center" vertical="center" textRotation="0" wrapText="false" indent="0" shrinkToFit="false"/>
      <protection locked="true" hidden="false"/>
    </xf>
    <xf numFmtId="165" fontId="0" fillId="7" borderId="1" xfId="21" applyFont="true" applyBorder="true" applyAlignment="true" applyProtection="false">
      <alignment horizontal="center" vertical="center" textRotation="0" wrapText="false" indent="0" shrinkToFit="false"/>
      <protection locked="true" hidden="false"/>
    </xf>
    <xf numFmtId="164" fontId="15" fillId="8" borderId="10" xfId="0" applyFont="true" applyBorder="true" applyAlignment="true" applyProtection="false">
      <alignment horizontal="center" vertical="center" textRotation="0" wrapText="false" indent="0" shrinkToFit="false"/>
      <protection locked="true" hidden="false"/>
    </xf>
    <xf numFmtId="164" fontId="0" fillId="9" borderId="1" xfId="24" applyFont="true" applyBorder="true" applyAlignment="true" applyProtection="false">
      <alignment horizontal="left" vertical="center" textRotation="0" wrapText="false" indent="2" shrinkToFit="false"/>
      <protection locked="true" hidden="false"/>
    </xf>
    <xf numFmtId="164" fontId="0" fillId="9" borderId="1" xfId="23" applyFont="true" applyBorder="true" applyAlignment="true" applyProtection="false">
      <alignment horizontal="center" vertical="center" textRotation="0" wrapText="false" indent="0" shrinkToFit="false"/>
      <protection locked="true" hidden="false"/>
    </xf>
    <xf numFmtId="169" fontId="16" fillId="9" borderId="1" xfId="19" applyFont="true" applyBorder="true" applyAlignment="true" applyProtection="true">
      <alignment horizontal="center" vertical="center" textRotation="0" wrapText="false" indent="0" shrinkToFit="false"/>
      <protection locked="true" hidden="false"/>
    </xf>
    <xf numFmtId="165" fontId="0" fillId="9" borderId="1" xfId="21" applyFont="true" applyBorder="true" applyAlignment="true" applyProtection="false">
      <alignment horizontal="center" vertical="center" textRotation="0" wrapText="false" indent="0" shrinkToFit="false"/>
      <protection locked="true" hidden="false"/>
    </xf>
    <xf numFmtId="164" fontId="0" fillId="0" borderId="1" xfId="24" applyFont="true" applyBorder="true" applyAlignment="true" applyProtection="false">
      <alignment horizontal="left" vertical="center" textRotation="0" wrapText="false" indent="2" shrinkToFit="false"/>
      <protection locked="true" hidden="false"/>
    </xf>
    <xf numFmtId="164" fontId="0" fillId="0" borderId="1" xfId="23" applyFont="true" applyBorder="true" applyAlignment="true" applyProtection="false">
      <alignment horizontal="center" vertical="center" textRotation="0" wrapText="false" indent="0" shrinkToFit="false"/>
      <protection locked="true" hidden="false"/>
    </xf>
    <xf numFmtId="169" fontId="16" fillId="0" borderId="1" xfId="19" applyFont="true" applyBorder="true" applyAlignment="true" applyProtection="true">
      <alignment horizontal="center" vertical="center" textRotation="0" wrapText="false" indent="0" shrinkToFit="false"/>
      <protection locked="true" hidden="false"/>
    </xf>
    <xf numFmtId="165" fontId="0" fillId="0" borderId="1" xfId="21" applyFont="true" applyBorder="true" applyAlignment="true" applyProtection="false">
      <alignment horizontal="center" vertical="center" textRotation="0" wrapText="false" indent="0" shrinkToFit="false"/>
      <protection locked="true" hidden="false"/>
    </xf>
    <xf numFmtId="164" fontId="17" fillId="10" borderId="1" xfId="0" applyFont="true" applyBorder="true" applyAlignment="true" applyProtection="false">
      <alignment horizontal="left" vertical="center" textRotation="0" wrapText="false" indent="1" shrinkToFit="false"/>
      <protection locked="true" hidden="false"/>
    </xf>
    <xf numFmtId="164" fontId="17" fillId="10" borderId="1" xfId="0" applyFont="true" applyBorder="true" applyAlignment="true" applyProtection="false">
      <alignment horizontal="center" vertical="center" textRotation="0" wrapText="false" indent="0" shrinkToFit="false"/>
      <protection locked="true" hidden="false"/>
    </xf>
    <xf numFmtId="169" fontId="16" fillId="10" borderId="1" xfId="19" applyFont="true" applyBorder="true" applyAlignment="true" applyProtection="true">
      <alignment horizontal="center" vertical="center" textRotation="0" wrapText="false" indent="0" shrinkToFit="false"/>
      <protection locked="true" hidden="false"/>
    </xf>
    <xf numFmtId="165" fontId="18" fillId="10" borderId="1" xfId="0" applyFont="true" applyBorder="true" applyAlignment="true" applyProtection="false">
      <alignment horizontal="left" vertical="center" textRotation="0" wrapText="false" indent="0"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false" indent="0" shrinkToFit="false"/>
      <protection locked="true" hidden="false"/>
    </xf>
    <xf numFmtId="164" fontId="0" fillId="10" borderId="9"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Début du projet" xfId="22"/>
    <cellStyle name="Nom" xfId="23"/>
    <cellStyle name="Tâche" xfId="24"/>
    <cellStyle name="zTexteMasqué" xfId="25"/>
    <cellStyle name="Excel Built-in Title" xfId="26"/>
    <cellStyle name="Excel Built-in Heading 1" xfId="27"/>
    <cellStyle name="*unknown*" xfId="20" builtinId="8"/>
    <cellStyle name="Excel Built-in Heading 2" xfId="28"/>
    <cellStyle name="Excel Built-in Heading 3" xfId="29"/>
  </cellStyles>
  <dxfs count="3">
    <dxf>
      <fill>
        <patternFill>
          <bgColor theme="0" tint="-0.35"/>
        </patternFill>
      </fill>
    </dxf>
    <dxf>
      <fill>
        <patternFill>
          <bgColor theme="7"/>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E6B9B8"/>
      <rgbColor rgb="FF7F7F7F"/>
      <rgbColor rgb="FF9999FF"/>
      <rgbColor rgb="FF993366"/>
      <rgbColor rgb="FFEBF1DE"/>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F2F2F2"/>
      <rgbColor rgb="FFD7E4BD"/>
      <rgbColor rgb="FFFFFF99"/>
      <rgbColor rgb="FFD9D9D9"/>
      <rgbColor rgb="FFFF99CC"/>
      <rgbColor rgb="FFCC99FF"/>
      <rgbColor rgb="FFF2DCDB"/>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20" activeCellId="0" sqref="D20"/>
    </sheetView>
  </sheetViews>
  <sheetFormatPr defaultColWidth="9.1640625" defaultRowHeight="30" customHeight="true" zeroHeight="false" outlineLevelRow="0" outlineLevelCol="0"/>
  <cols>
    <col collapsed="false" customWidth="true" hidden="false" outlineLevel="0" max="1" min="1" style="1" width="2.67"/>
    <col collapsed="false" customWidth="true" hidden="false" outlineLevel="0" max="2" min="2" style="0" width="52.33"/>
    <col collapsed="false" customWidth="true" hidden="false" outlineLevel="0" max="3" min="3" style="0" width="32.83"/>
    <col collapsed="false" customWidth="true" hidden="false" outlineLevel="0" max="4" min="4" style="0" width="12.67"/>
    <col collapsed="false" customWidth="true" hidden="false" outlineLevel="0" max="5" min="5" style="2" width="10.51"/>
    <col collapsed="false" customWidth="true" hidden="false" outlineLevel="0" max="6" min="6" style="0" width="10.51"/>
    <col collapsed="false" customWidth="true" hidden="false" outlineLevel="0" max="7" min="7" style="0" width="2.67"/>
    <col collapsed="false" customWidth="true" hidden="true" outlineLevel="0" max="8" min="8" style="0" width="9.51"/>
    <col collapsed="false" customWidth="true" hidden="false" outlineLevel="0" max="64" min="9" style="0" width="2.5"/>
    <col collapsed="false" customWidth="true" hidden="false" outlineLevel="0" max="70" min="69" style="0" width="10.33"/>
  </cols>
  <sheetData>
    <row r="1" customFormat="false" ht="30" hidden="false" customHeight="true" outlineLevel="0" collapsed="false">
      <c r="A1" s="3" t="s">
        <v>0</v>
      </c>
      <c r="B1" s="4" t="s">
        <v>1</v>
      </c>
      <c r="C1" s="4"/>
      <c r="D1" s="4"/>
      <c r="E1" s="4"/>
      <c r="F1" s="4"/>
      <c r="H1" s="5"/>
      <c r="I1" s="6"/>
    </row>
    <row r="2" customFormat="false" ht="30" hidden="false" customHeight="true" outlineLevel="0" collapsed="false">
      <c r="A2" s="1" t="s">
        <v>2</v>
      </c>
      <c r="B2" s="7"/>
      <c r="C2" s="7"/>
      <c r="I2" s="8"/>
    </row>
    <row r="3" customFormat="false" ht="30" hidden="false" customHeight="true" outlineLevel="0" collapsed="false">
      <c r="A3" s="1" t="s">
        <v>3</v>
      </c>
      <c r="B3" s="9" t="s">
        <v>4</v>
      </c>
      <c r="C3" s="10"/>
      <c r="D3" s="11" t="s">
        <v>5</v>
      </c>
      <c r="E3" s="12" t="n">
        <v>45971</v>
      </c>
      <c r="F3" s="12"/>
    </row>
    <row r="4" customFormat="false" ht="30" hidden="false" customHeight="true" outlineLevel="0" collapsed="false">
      <c r="A4" s="3" t="s">
        <v>6</v>
      </c>
      <c r="B4" s="13" t="s">
        <v>7</v>
      </c>
      <c r="C4" s="14"/>
      <c r="D4" s="14"/>
      <c r="E4" s="14"/>
      <c r="F4" s="14"/>
      <c r="I4" s="15" t="n">
        <f aca="false">I5</f>
        <v>45964</v>
      </c>
      <c r="J4" s="15"/>
      <c r="K4" s="15"/>
      <c r="L4" s="15"/>
      <c r="M4" s="15"/>
      <c r="N4" s="15"/>
      <c r="O4" s="15"/>
      <c r="P4" s="15" t="n">
        <f aca="false">P5</f>
        <v>45971</v>
      </c>
      <c r="Q4" s="15"/>
      <c r="R4" s="15"/>
      <c r="S4" s="15"/>
      <c r="T4" s="15"/>
      <c r="U4" s="15"/>
      <c r="V4" s="15"/>
      <c r="W4" s="15" t="n">
        <f aca="false">W5</f>
        <v>45978</v>
      </c>
      <c r="X4" s="15"/>
      <c r="Y4" s="15"/>
      <c r="Z4" s="15"/>
      <c r="AA4" s="15"/>
      <c r="AB4" s="15"/>
      <c r="AC4" s="15"/>
      <c r="AD4" s="15" t="n">
        <f aca="false">AD5</f>
        <v>45985</v>
      </c>
      <c r="AE4" s="15"/>
      <c r="AF4" s="15"/>
      <c r="AG4" s="15"/>
      <c r="AH4" s="15"/>
      <c r="AI4" s="15"/>
      <c r="AJ4" s="15"/>
      <c r="AK4" s="15" t="n">
        <f aca="false">AK5</f>
        <v>45992</v>
      </c>
      <c r="AL4" s="15"/>
      <c r="AM4" s="15"/>
      <c r="AN4" s="15"/>
      <c r="AO4" s="15"/>
      <c r="AP4" s="15"/>
      <c r="AQ4" s="15"/>
      <c r="AR4" s="15" t="n">
        <f aca="false">AR5</f>
        <v>45999</v>
      </c>
      <c r="AS4" s="15"/>
      <c r="AT4" s="15"/>
      <c r="AU4" s="15"/>
      <c r="AV4" s="15"/>
      <c r="AW4" s="15"/>
      <c r="AX4" s="15"/>
      <c r="AY4" s="15" t="n">
        <f aca="false">AY5</f>
        <v>46006</v>
      </c>
      <c r="AZ4" s="15"/>
      <c r="BA4" s="15"/>
      <c r="BB4" s="15"/>
      <c r="BC4" s="15"/>
      <c r="BD4" s="15"/>
      <c r="BE4" s="15"/>
      <c r="BF4" s="15" t="n">
        <f aca="false">BF5</f>
        <v>46013</v>
      </c>
      <c r="BG4" s="15"/>
      <c r="BH4" s="15"/>
      <c r="BI4" s="15"/>
      <c r="BJ4" s="15"/>
      <c r="BK4" s="15"/>
      <c r="BL4" s="15"/>
    </row>
    <row r="5" customFormat="false" ht="15" hidden="false" customHeight="true" outlineLevel="0" collapsed="false">
      <c r="A5" s="3" t="s">
        <v>8</v>
      </c>
      <c r="B5" s="16"/>
      <c r="C5" s="16"/>
      <c r="D5" s="16"/>
      <c r="E5" s="16"/>
      <c r="F5" s="16"/>
      <c r="G5" s="16"/>
      <c r="I5" s="17" t="n">
        <f aca="false">Début_Projet-WEEKDAY(Début_Projet,1)+2+7*(Semaine_Affichage-1)</f>
        <v>45964</v>
      </c>
      <c r="J5" s="18" t="n">
        <f aca="false">I5+1</f>
        <v>45965</v>
      </c>
      <c r="K5" s="18" t="n">
        <f aca="false">J5+1</f>
        <v>45966</v>
      </c>
      <c r="L5" s="18" t="n">
        <f aca="false">K5+1</f>
        <v>45967</v>
      </c>
      <c r="M5" s="18" t="n">
        <f aca="false">L5+1</f>
        <v>45968</v>
      </c>
      <c r="N5" s="18" t="n">
        <f aca="false">M5+1</f>
        <v>45969</v>
      </c>
      <c r="O5" s="19" t="n">
        <f aca="false">N5+1</f>
        <v>45970</v>
      </c>
      <c r="P5" s="17" t="n">
        <f aca="false">O5+1</f>
        <v>45971</v>
      </c>
      <c r="Q5" s="18" t="n">
        <f aca="false">P5+1</f>
        <v>45972</v>
      </c>
      <c r="R5" s="18" t="n">
        <f aca="false">Q5+1</f>
        <v>45973</v>
      </c>
      <c r="S5" s="18" t="n">
        <f aca="false">R5+1</f>
        <v>45974</v>
      </c>
      <c r="T5" s="18" t="n">
        <f aca="false">S5+1</f>
        <v>45975</v>
      </c>
      <c r="U5" s="18" t="n">
        <f aca="false">T5+1</f>
        <v>45976</v>
      </c>
      <c r="V5" s="19" t="n">
        <f aca="false">U5+1</f>
        <v>45977</v>
      </c>
      <c r="W5" s="17" t="n">
        <f aca="false">V5+1</f>
        <v>45978</v>
      </c>
      <c r="X5" s="18" t="n">
        <f aca="false">W5+1</f>
        <v>45979</v>
      </c>
      <c r="Y5" s="18" t="n">
        <f aca="false">X5+1</f>
        <v>45980</v>
      </c>
      <c r="Z5" s="18" t="n">
        <f aca="false">Y5+1</f>
        <v>45981</v>
      </c>
      <c r="AA5" s="18" t="n">
        <f aca="false">Z5+1</f>
        <v>45982</v>
      </c>
      <c r="AB5" s="18" t="n">
        <f aca="false">AA5+1</f>
        <v>45983</v>
      </c>
      <c r="AC5" s="19" t="n">
        <f aca="false">AB5+1</f>
        <v>45984</v>
      </c>
      <c r="AD5" s="17" t="n">
        <f aca="false">AC5+1</f>
        <v>45985</v>
      </c>
      <c r="AE5" s="18" t="n">
        <f aca="false">AD5+1</f>
        <v>45986</v>
      </c>
      <c r="AF5" s="18" t="n">
        <f aca="false">AE5+1</f>
        <v>45987</v>
      </c>
      <c r="AG5" s="18" t="n">
        <f aca="false">AF5+1</f>
        <v>45988</v>
      </c>
      <c r="AH5" s="18" t="n">
        <f aca="false">AG5+1</f>
        <v>45989</v>
      </c>
      <c r="AI5" s="18" t="n">
        <f aca="false">AH5+1</f>
        <v>45990</v>
      </c>
      <c r="AJ5" s="19" t="n">
        <f aca="false">AI5+1</f>
        <v>45991</v>
      </c>
      <c r="AK5" s="17" t="n">
        <f aca="false">AJ5+1</f>
        <v>45992</v>
      </c>
      <c r="AL5" s="18" t="n">
        <f aca="false">AK5+1</f>
        <v>45993</v>
      </c>
      <c r="AM5" s="18" t="n">
        <f aca="false">AL5+1</f>
        <v>45994</v>
      </c>
      <c r="AN5" s="18" t="n">
        <f aca="false">AM5+1</f>
        <v>45995</v>
      </c>
      <c r="AO5" s="18" t="n">
        <f aca="false">AN5+1</f>
        <v>45996</v>
      </c>
      <c r="AP5" s="18" t="n">
        <f aca="false">AO5+1</f>
        <v>45997</v>
      </c>
      <c r="AQ5" s="19" t="n">
        <f aca="false">AP5+1</f>
        <v>45998</v>
      </c>
      <c r="AR5" s="17" t="n">
        <f aca="false">AQ5+1</f>
        <v>45999</v>
      </c>
      <c r="AS5" s="18" t="n">
        <f aca="false">AR5+1</f>
        <v>46000</v>
      </c>
      <c r="AT5" s="18" t="n">
        <f aca="false">AS5+1</f>
        <v>46001</v>
      </c>
      <c r="AU5" s="18" t="n">
        <f aca="false">AT5+1</f>
        <v>46002</v>
      </c>
      <c r="AV5" s="18" t="n">
        <f aca="false">AU5+1</f>
        <v>46003</v>
      </c>
      <c r="AW5" s="18" t="n">
        <f aca="false">AV5+1</f>
        <v>46004</v>
      </c>
      <c r="AX5" s="19" t="n">
        <f aca="false">AW5+1</f>
        <v>46005</v>
      </c>
      <c r="AY5" s="17" t="n">
        <f aca="false">AX5+1</f>
        <v>46006</v>
      </c>
      <c r="AZ5" s="18" t="n">
        <f aca="false">AY5+1</f>
        <v>46007</v>
      </c>
      <c r="BA5" s="18" t="n">
        <f aca="false">AZ5+1</f>
        <v>46008</v>
      </c>
      <c r="BB5" s="18" t="n">
        <f aca="false">BA5+1</f>
        <v>46009</v>
      </c>
      <c r="BC5" s="18" t="n">
        <f aca="false">BB5+1</f>
        <v>46010</v>
      </c>
      <c r="BD5" s="18" t="n">
        <f aca="false">BC5+1</f>
        <v>46011</v>
      </c>
      <c r="BE5" s="19" t="n">
        <f aca="false">BD5+1</f>
        <v>46012</v>
      </c>
      <c r="BF5" s="17" t="n">
        <f aca="false">BE5+1</f>
        <v>46013</v>
      </c>
      <c r="BG5" s="18" t="n">
        <f aca="false">BF5+1</f>
        <v>46014</v>
      </c>
      <c r="BH5" s="18" t="n">
        <f aca="false">BG5+1</f>
        <v>46015</v>
      </c>
      <c r="BI5" s="18" t="n">
        <f aca="false">BH5+1</f>
        <v>46016</v>
      </c>
      <c r="BJ5" s="18" t="n">
        <f aca="false">BI5+1</f>
        <v>46017</v>
      </c>
      <c r="BK5" s="18" t="n">
        <f aca="false">BJ5+1</f>
        <v>46018</v>
      </c>
      <c r="BL5" s="19" t="n">
        <f aca="false">BK5+1</f>
        <v>46019</v>
      </c>
    </row>
    <row r="6" customFormat="false" ht="30" hidden="false" customHeight="true" outlineLevel="0" collapsed="false">
      <c r="A6" s="3" t="s">
        <v>9</v>
      </c>
      <c r="B6" s="20" t="s">
        <v>10</v>
      </c>
      <c r="C6" s="21" t="s">
        <v>11</v>
      </c>
      <c r="D6" s="21" t="s">
        <v>12</v>
      </c>
      <c r="E6" s="21" t="s">
        <v>13</v>
      </c>
      <c r="F6" s="21" t="s">
        <v>14</v>
      </c>
      <c r="G6" s="21"/>
      <c r="H6" s="21" t="s">
        <v>15</v>
      </c>
      <c r="I6" s="22" t="str">
        <f aca="false">LEFT(TEXT(I5,"jjj"),1)</f>
        <v>l</v>
      </c>
      <c r="J6" s="22" t="str">
        <f aca="false">LEFT(TEXT(J5,"jjj"),1)</f>
        <v>m</v>
      </c>
      <c r="K6" s="22" t="str">
        <f aca="false">LEFT(TEXT(K5,"jjj"),1)</f>
        <v>m</v>
      </c>
      <c r="L6" s="22" t="str">
        <f aca="false">LEFT(TEXT(L5,"jjj"),1)</f>
        <v>j</v>
      </c>
      <c r="M6" s="22" t="str">
        <f aca="false">LEFT(TEXT(M5,"jjj"),1)</f>
        <v>v</v>
      </c>
      <c r="N6" s="22" t="str">
        <f aca="false">LEFT(TEXT(N5,"jjj"),1)</f>
        <v>s</v>
      </c>
      <c r="O6" s="22" t="str">
        <f aca="false">LEFT(TEXT(O5,"jjj"),1)</f>
        <v>d</v>
      </c>
      <c r="P6" s="22" t="str">
        <f aca="false">LEFT(TEXT(P5,"jjj"),1)</f>
        <v>l</v>
      </c>
      <c r="Q6" s="22" t="str">
        <f aca="false">LEFT(TEXT(Q5,"jjj"),1)</f>
        <v>m</v>
      </c>
      <c r="R6" s="22" t="str">
        <f aca="false">LEFT(TEXT(R5,"jjj"),1)</f>
        <v>m</v>
      </c>
      <c r="S6" s="22" t="str">
        <f aca="false">LEFT(TEXT(S5,"jjj"),1)</f>
        <v>j</v>
      </c>
      <c r="T6" s="22" t="str">
        <f aca="false">LEFT(TEXT(T5,"jjj"),1)</f>
        <v>v</v>
      </c>
      <c r="U6" s="22" t="str">
        <f aca="false">LEFT(TEXT(U5,"jjj"),1)</f>
        <v>s</v>
      </c>
      <c r="V6" s="22" t="str">
        <f aca="false">LEFT(TEXT(V5,"jjj"),1)</f>
        <v>d</v>
      </c>
      <c r="W6" s="22" t="str">
        <f aca="false">LEFT(TEXT(W5,"jjj"),1)</f>
        <v>l</v>
      </c>
      <c r="X6" s="22" t="str">
        <f aca="false">LEFT(TEXT(X5,"jjj"),1)</f>
        <v>m</v>
      </c>
      <c r="Y6" s="22" t="str">
        <f aca="false">LEFT(TEXT(Y5,"jjj"),1)</f>
        <v>m</v>
      </c>
      <c r="Z6" s="22" t="str">
        <f aca="false">LEFT(TEXT(Z5,"jjj"),1)</f>
        <v>j</v>
      </c>
      <c r="AA6" s="22" t="str">
        <f aca="false">LEFT(TEXT(AA5,"jjj"),1)</f>
        <v>v</v>
      </c>
      <c r="AB6" s="22" t="str">
        <f aca="false">LEFT(TEXT(AB5,"jjj"),1)</f>
        <v>s</v>
      </c>
      <c r="AC6" s="22" t="str">
        <f aca="false">LEFT(TEXT(AC5,"jjj"),1)</f>
        <v>d</v>
      </c>
      <c r="AD6" s="22" t="str">
        <f aca="false">LEFT(TEXT(AD5,"jjj"),1)</f>
        <v>l</v>
      </c>
      <c r="AE6" s="22" t="str">
        <f aca="false">LEFT(TEXT(AE5,"jjj"),1)</f>
        <v>m</v>
      </c>
      <c r="AF6" s="22" t="str">
        <f aca="false">LEFT(TEXT(AF5,"jjj"),1)</f>
        <v>m</v>
      </c>
      <c r="AG6" s="22" t="str">
        <f aca="false">LEFT(TEXT(AG5,"jjj"),1)</f>
        <v>j</v>
      </c>
      <c r="AH6" s="22" t="str">
        <f aca="false">LEFT(TEXT(AH5,"jjj"),1)</f>
        <v>v</v>
      </c>
      <c r="AI6" s="22" t="str">
        <f aca="false">LEFT(TEXT(AI5,"jjj"),1)</f>
        <v>s</v>
      </c>
      <c r="AJ6" s="22" t="str">
        <f aca="false">LEFT(TEXT(AJ5,"jjj"),1)</f>
        <v>d</v>
      </c>
      <c r="AK6" s="22" t="str">
        <f aca="false">LEFT(TEXT(AK5,"jjj"),1)</f>
        <v>l</v>
      </c>
      <c r="AL6" s="22" t="str">
        <f aca="false">LEFT(TEXT(AL5,"jjj"),1)</f>
        <v>m</v>
      </c>
      <c r="AM6" s="22" t="str">
        <f aca="false">LEFT(TEXT(AM5,"jjj"),1)</f>
        <v>m</v>
      </c>
      <c r="AN6" s="22" t="str">
        <f aca="false">LEFT(TEXT(AN5,"jjj"),1)</f>
        <v>j</v>
      </c>
      <c r="AO6" s="22" t="str">
        <f aca="false">LEFT(TEXT(AO5,"jjj"),1)</f>
        <v>v</v>
      </c>
      <c r="AP6" s="22" t="str">
        <f aca="false">LEFT(TEXT(AP5,"jjj"),1)</f>
        <v>s</v>
      </c>
      <c r="AQ6" s="22" t="str">
        <f aca="false">LEFT(TEXT(AQ5,"jjj"),1)</f>
        <v>d</v>
      </c>
      <c r="AR6" s="22" t="str">
        <f aca="false">LEFT(TEXT(AR5,"jjj"),1)</f>
        <v>l</v>
      </c>
      <c r="AS6" s="22" t="str">
        <f aca="false">LEFT(TEXT(AS5,"jjj"),1)</f>
        <v>m</v>
      </c>
      <c r="AT6" s="22" t="str">
        <f aca="false">LEFT(TEXT(AT5,"jjj"),1)</f>
        <v>m</v>
      </c>
      <c r="AU6" s="22" t="str">
        <f aca="false">LEFT(TEXT(AU5,"jjj"),1)</f>
        <v>j</v>
      </c>
      <c r="AV6" s="22" t="str">
        <f aca="false">LEFT(TEXT(AV5,"jjj"),1)</f>
        <v>v</v>
      </c>
      <c r="AW6" s="22" t="str">
        <f aca="false">LEFT(TEXT(AW5,"jjj"),1)</f>
        <v>s</v>
      </c>
      <c r="AX6" s="22" t="str">
        <f aca="false">LEFT(TEXT(AX5,"jjj"),1)</f>
        <v>d</v>
      </c>
      <c r="AY6" s="22" t="str">
        <f aca="false">LEFT(TEXT(AY5,"jjj"),1)</f>
        <v>l</v>
      </c>
      <c r="AZ6" s="22" t="str">
        <f aca="false">LEFT(TEXT(AZ5,"jjj"),1)</f>
        <v>m</v>
      </c>
      <c r="BA6" s="22" t="str">
        <f aca="false">LEFT(TEXT(BA5,"jjj"),1)</f>
        <v>m</v>
      </c>
      <c r="BB6" s="22" t="str">
        <f aca="false">LEFT(TEXT(BB5,"jjj"),1)</f>
        <v>j</v>
      </c>
      <c r="BC6" s="22" t="str">
        <f aca="false">LEFT(TEXT(BC5,"jjj"),1)</f>
        <v>v</v>
      </c>
      <c r="BD6" s="22" t="str">
        <f aca="false">LEFT(TEXT(BD5,"jjj"),1)</f>
        <v>s</v>
      </c>
      <c r="BE6" s="22" t="str">
        <f aca="false">LEFT(TEXT(BE5,"jjj"),1)</f>
        <v>d</v>
      </c>
      <c r="BF6" s="22" t="str">
        <f aca="false">LEFT(TEXT(BF5,"jjj"),1)</f>
        <v>l</v>
      </c>
      <c r="BG6" s="22" t="str">
        <f aca="false">LEFT(TEXT(BG5,"jjj"),1)</f>
        <v>m</v>
      </c>
      <c r="BH6" s="22" t="str">
        <f aca="false">LEFT(TEXT(BH5,"jjj"),1)</f>
        <v>m</v>
      </c>
      <c r="BI6" s="22" t="str">
        <f aca="false">LEFT(TEXT(BI5,"jjj"),1)</f>
        <v>j</v>
      </c>
      <c r="BJ6" s="22" t="str">
        <f aca="false">LEFT(TEXT(BJ5,"jjj"),1)</f>
        <v>v</v>
      </c>
      <c r="BK6" s="22" t="str">
        <f aca="false">LEFT(TEXT(BK5,"jjj"),1)</f>
        <v>s</v>
      </c>
      <c r="BL6" s="22" t="str">
        <f aca="false">LEFT(TEXT(BL5,"jjj"),1)</f>
        <v>d</v>
      </c>
    </row>
    <row r="7" customFormat="false" ht="30" hidden="true" customHeight="false" outlineLevel="0" collapsed="false">
      <c r="A7" s="1" t="s">
        <v>16</v>
      </c>
      <c r="C7" s="23"/>
      <c r="H7" s="0" t="str">
        <f aca="false">IF(OR(ISBLANK(début_tâche),ISBLANK(fin_tâche)),"",fin_tâche-début_tâche+1)</f>
        <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26" customFormat="true" ht="30" hidden="false" customHeight="true" outlineLevel="0" collapsed="false">
      <c r="A8" s="3" t="s">
        <v>17</v>
      </c>
      <c r="B8" s="25" t="s">
        <v>18</v>
      </c>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row>
    <row r="9" s="26" customFormat="true" ht="30" hidden="false" customHeight="true" outlineLevel="0" collapsed="false">
      <c r="A9" s="3" t="s">
        <v>19</v>
      </c>
      <c r="B9" s="27" t="s">
        <v>20</v>
      </c>
      <c r="C9" s="28" t="s">
        <v>21</v>
      </c>
      <c r="D9" s="29" t="n">
        <v>1</v>
      </c>
      <c r="E9" s="30" t="n">
        <f aca="false">Début_Projet</f>
        <v>45971</v>
      </c>
      <c r="F9" s="30" t="n">
        <f aca="false">E9+7</f>
        <v>45978</v>
      </c>
      <c r="G9" s="31"/>
      <c r="H9" s="31" t="n">
        <f aca="false">IF(OR(ISBLANK(début_tâche),ISBLANK(fin_tâche)),"",fin_tâche-début_tâche+1)</f>
        <v>8</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26" customFormat="true" ht="30" hidden="false" customHeight="true" outlineLevel="0" collapsed="false">
      <c r="A10" s="3" t="s">
        <v>22</v>
      </c>
      <c r="B10" s="27" t="s">
        <v>23</v>
      </c>
      <c r="C10" s="28" t="s">
        <v>21</v>
      </c>
      <c r="D10" s="29" t="n">
        <v>1</v>
      </c>
      <c r="E10" s="30" t="n">
        <f aca="false">F9</f>
        <v>45978</v>
      </c>
      <c r="F10" s="30" t="n">
        <f aca="false">E10+3</f>
        <v>45981</v>
      </c>
      <c r="G10" s="31"/>
      <c r="H10" s="31" t="n">
        <f aca="false">IF(OR(ISBLANK(début_tâche),ISBLANK(fin_tâche)),"",fin_tâche-début_tâche+1)</f>
        <v>4</v>
      </c>
      <c r="I10" s="24"/>
      <c r="J10" s="24"/>
      <c r="K10" s="24"/>
      <c r="L10" s="24"/>
      <c r="M10" s="24"/>
      <c r="N10" s="24"/>
      <c r="O10" s="24"/>
      <c r="P10" s="24"/>
      <c r="Q10" s="24"/>
      <c r="R10" s="24"/>
      <c r="S10" s="24"/>
      <c r="T10" s="24"/>
      <c r="U10" s="32"/>
      <c r="V10" s="32"/>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26" customFormat="true" ht="30" hidden="false" customHeight="true" outlineLevel="0" collapsed="false">
      <c r="A11" s="1"/>
      <c r="B11" s="27" t="s">
        <v>24</v>
      </c>
      <c r="C11" s="28" t="s">
        <v>25</v>
      </c>
      <c r="D11" s="29" t="n">
        <v>1</v>
      </c>
      <c r="E11" s="30" t="n">
        <f aca="false">F10</f>
        <v>45981</v>
      </c>
      <c r="F11" s="30" t="n">
        <f aca="false">E11+4</f>
        <v>45985</v>
      </c>
      <c r="G11" s="31"/>
      <c r="H11" s="31" t="n">
        <f aca="false">IF(OR(ISBLANK(début_tâche),ISBLANK(fin_tâche)),"",fin_tâche-début_tâche+1)</f>
        <v>5</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26" customFormat="true" ht="30" hidden="false" customHeight="true" outlineLevel="0" collapsed="false">
      <c r="A12" s="1"/>
      <c r="B12" s="27" t="s">
        <v>26</v>
      </c>
      <c r="C12" s="28" t="s">
        <v>21</v>
      </c>
      <c r="D12" s="29" t="n">
        <v>1</v>
      </c>
      <c r="E12" s="30" t="n">
        <v>45979</v>
      </c>
      <c r="F12" s="30" t="n">
        <f aca="false">E12+2</f>
        <v>45981</v>
      </c>
      <c r="G12" s="31"/>
      <c r="H12" s="31" t="n">
        <f aca="false">IF(OR(ISBLANK(début_tâche),ISBLANK(fin_tâche)),"",fin_tâche-début_tâche+1)</f>
        <v>3</v>
      </c>
      <c r="I12" s="24"/>
      <c r="J12" s="24"/>
      <c r="K12" s="24"/>
      <c r="L12" s="24"/>
      <c r="M12" s="24"/>
      <c r="N12" s="24"/>
      <c r="O12" s="24"/>
      <c r="P12" s="24"/>
      <c r="Q12" s="24"/>
      <c r="R12" s="24"/>
      <c r="S12" s="24"/>
      <c r="T12" s="24"/>
      <c r="U12" s="24"/>
      <c r="V12" s="24"/>
      <c r="W12" s="24"/>
      <c r="X12" s="24"/>
      <c r="Y12" s="32"/>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26" customFormat="true" ht="30" hidden="false" customHeight="true" outlineLevel="0" collapsed="false">
      <c r="A13" s="3" t="s">
        <v>27</v>
      </c>
      <c r="B13" s="33" t="s">
        <v>28</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row>
    <row r="14" s="26" customFormat="true" ht="30" hidden="false" customHeight="true" outlineLevel="0" collapsed="false">
      <c r="A14" s="3"/>
      <c r="B14" s="34" t="s">
        <v>29</v>
      </c>
      <c r="C14" s="35" t="s">
        <v>25</v>
      </c>
      <c r="D14" s="36" t="n">
        <v>1</v>
      </c>
      <c r="E14" s="37" t="n">
        <v>45985</v>
      </c>
      <c r="F14" s="37" t="n">
        <f aca="false">E14+7</f>
        <v>45992</v>
      </c>
      <c r="G14" s="31"/>
      <c r="H14" s="31" t="n">
        <f aca="false">IF(OR(ISBLANK(début_tâche),ISBLANK(fin_tâche)),"",fin_tâche-début_tâche+1)</f>
        <v>8</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26" customFormat="true" ht="30" hidden="false" customHeight="true" outlineLevel="0" collapsed="false">
      <c r="A15" s="1"/>
      <c r="B15" s="34" t="s">
        <v>30</v>
      </c>
      <c r="C15" s="35" t="s">
        <v>25</v>
      </c>
      <c r="D15" s="36" t="n">
        <v>1</v>
      </c>
      <c r="E15" s="37" t="n">
        <v>45992</v>
      </c>
      <c r="F15" s="37" t="n">
        <v>45999</v>
      </c>
      <c r="G15" s="31"/>
      <c r="H15" s="31" t="n">
        <f aca="false">IF(OR(ISBLANK(début_tâche),ISBLANK(fin_tâche)),"",fin_tâche-début_tâche+1)</f>
        <v>8</v>
      </c>
      <c r="I15" s="24"/>
      <c r="J15" s="24"/>
      <c r="K15" s="24"/>
      <c r="L15" s="24"/>
      <c r="M15" s="24"/>
      <c r="N15" s="24"/>
      <c r="O15" s="24"/>
      <c r="P15" s="24"/>
      <c r="Q15" s="24"/>
      <c r="R15" s="24"/>
      <c r="S15" s="24"/>
      <c r="T15" s="24"/>
      <c r="U15" s="32"/>
      <c r="V15" s="32"/>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26" customFormat="true" ht="30" hidden="false" customHeight="true" outlineLevel="0" collapsed="false">
      <c r="A16" s="1"/>
      <c r="B16" s="34" t="s">
        <v>31</v>
      </c>
      <c r="C16" s="35" t="s">
        <v>32</v>
      </c>
      <c r="D16" s="36" t="n">
        <v>1</v>
      </c>
      <c r="E16" s="37" t="n">
        <f aca="false">F15</f>
        <v>45999</v>
      </c>
      <c r="F16" s="37" t="n">
        <f aca="false">E16+7</f>
        <v>46006</v>
      </c>
      <c r="G16" s="31"/>
      <c r="H16" s="31" t="n">
        <f aca="false">IF(OR(ISBLANK(début_tâche),ISBLANK(fin_tâche)),"",fin_tâche-début_tâche+1)</f>
        <v>8</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26" customFormat="true" ht="30" hidden="false" customHeight="true" outlineLevel="0" collapsed="false">
      <c r="A17" s="1"/>
      <c r="B17" s="34" t="s">
        <v>33</v>
      </c>
      <c r="C17" s="35" t="s">
        <v>21</v>
      </c>
      <c r="D17" s="36" t="n">
        <v>1</v>
      </c>
      <c r="E17" s="37" t="n">
        <v>46006</v>
      </c>
      <c r="F17" s="37" t="n">
        <v>46013</v>
      </c>
      <c r="G17" s="31"/>
      <c r="H17" s="31" t="n">
        <f aca="false">IF(OR(ISBLANK(début_tâche),ISBLANK(fin_tâche)),"",fin_tâche-début_tâche+1)</f>
        <v>8</v>
      </c>
      <c r="I17" s="24"/>
      <c r="J17" s="24"/>
      <c r="K17" s="24"/>
      <c r="L17" s="24"/>
      <c r="M17" s="24"/>
      <c r="N17" s="24"/>
      <c r="O17" s="24"/>
      <c r="P17" s="24"/>
      <c r="Q17" s="24"/>
      <c r="R17" s="24"/>
      <c r="S17" s="24"/>
      <c r="T17" s="24"/>
      <c r="U17" s="24"/>
      <c r="V17" s="24"/>
      <c r="W17" s="24"/>
      <c r="X17" s="24"/>
      <c r="Y17" s="32"/>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26" customFormat="true" ht="30" hidden="false" customHeight="true" outlineLevel="0" collapsed="false">
      <c r="A18" s="1" t="s">
        <v>34</v>
      </c>
      <c r="B18" s="38" t="s">
        <v>35</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row>
    <row r="19" s="26" customFormat="true" ht="30" hidden="false" customHeight="true" outlineLevel="0" collapsed="false">
      <c r="A19" s="1"/>
      <c r="B19" s="39" t="s">
        <v>36</v>
      </c>
      <c r="C19" s="40" t="s">
        <v>32</v>
      </c>
      <c r="D19" s="41" t="n">
        <v>1</v>
      </c>
      <c r="E19" s="42" t="n">
        <v>46013</v>
      </c>
      <c r="F19" s="42" t="n">
        <v>46020</v>
      </c>
      <c r="G19" s="31"/>
      <c r="H19" s="31" t="n">
        <f aca="false">IF(OR(ISBLANK(début_tâche),ISBLANK(fin_tâche)),"",fin_tâche-début_tâche+1)</f>
        <v>8</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26" customFormat="true" ht="30" hidden="false" customHeight="true" outlineLevel="0" collapsed="false">
      <c r="A20" s="1"/>
      <c r="B20" s="39" t="s">
        <v>37</v>
      </c>
      <c r="C20" s="40" t="s">
        <v>21</v>
      </c>
      <c r="D20" s="41" t="n">
        <v>1</v>
      </c>
      <c r="E20" s="42" t="n">
        <v>46013</v>
      </c>
      <c r="F20" s="42" t="n">
        <v>46020</v>
      </c>
      <c r="G20" s="31"/>
      <c r="H20" s="31" t="n">
        <f aca="false">IF(OR(ISBLANK(début_tâche),ISBLANK(fin_tâche)),"",fin_tâche-début_tâche+1)</f>
        <v>8</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26" customFormat="true" ht="30" hidden="false" customHeight="true" outlineLevel="0" collapsed="false">
      <c r="A21" s="1"/>
      <c r="B21" s="39" t="s">
        <v>38</v>
      </c>
      <c r="C21" s="40" t="s">
        <v>21</v>
      </c>
      <c r="D21" s="41" t="n">
        <v>1</v>
      </c>
      <c r="E21" s="42" t="n">
        <v>46014</v>
      </c>
      <c r="F21" s="42" t="n">
        <v>46020</v>
      </c>
      <c r="G21" s="31"/>
      <c r="H21" s="31" t="n">
        <f aca="false">IF(OR(ISBLANK(début_tâche),ISBLANK(fin_tâche)),"",fin_tâche-début_tâche+1)</f>
        <v>7</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26" customFormat="true" ht="30" hidden="false" customHeight="true" outlineLevel="0" collapsed="false">
      <c r="A22" s="1"/>
      <c r="B22" s="39" t="s">
        <v>39</v>
      </c>
      <c r="C22" s="40" t="s">
        <v>21</v>
      </c>
      <c r="D22" s="41" t="n">
        <v>1</v>
      </c>
      <c r="E22" s="42" t="n">
        <v>46015</v>
      </c>
      <c r="F22" s="42" t="n">
        <v>46020</v>
      </c>
      <c r="G22" s="31"/>
      <c r="H22" s="31" t="n">
        <f aca="false">IF(OR(ISBLANK(début_tâche),ISBLANK(fin_tâche)),"",fin_tâche-début_tâche+1)</f>
        <v>6</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26" customFormat="true" ht="30" hidden="false" customHeight="true" outlineLevel="0" collapsed="false">
      <c r="A23" s="1" t="s">
        <v>40</v>
      </c>
      <c r="B23" s="43"/>
      <c r="C23" s="44"/>
      <c r="D23" s="45"/>
      <c r="E23" s="46"/>
      <c r="F23" s="46"/>
      <c r="G23" s="31"/>
      <c r="H23" s="31" t="str">
        <f aca="false">IF(OR(ISBLANK(début_tâche),ISBLANK(fin_tâche)),"",fin_tâche-début_tâche+1)</f>
        <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26" customFormat="true" ht="30" hidden="false" customHeight="true" outlineLevel="0" collapsed="false">
      <c r="A24" s="3" t="s">
        <v>41</v>
      </c>
      <c r="B24" s="47" t="s">
        <v>42</v>
      </c>
      <c r="C24" s="48"/>
      <c r="D24" s="49"/>
      <c r="E24" s="50"/>
      <c r="F24" s="51"/>
      <c r="G24" s="52"/>
      <c r="H24" s="52" t="str">
        <f aca="false">IF(OR(ISBLANK(début_tâche),ISBLANK(fin_tâche)),"",fin_tâche-début_tâche+1)</f>
        <v/>
      </c>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row>
    <row r="25" customFormat="false" ht="30" hidden="false" customHeight="true" outlineLevel="0" collapsed="false">
      <c r="G25" s="54"/>
    </row>
    <row r="26" customFormat="false" ht="30" hidden="false" customHeight="true" outlineLevel="0" collapsed="false">
      <c r="C26" s="55"/>
      <c r="F26" s="56"/>
    </row>
    <row r="27" customFormat="false" ht="30" hidden="false" customHeight="true" outlineLevel="0" collapsed="false">
      <c r="C27" s="57"/>
    </row>
  </sheetData>
  <mergeCells count="16">
    <mergeCell ref="B1:F1"/>
    <mergeCell ref="B2:C2"/>
    <mergeCell ref="E3:F3"/>
    <mergeCell ref="C4:D4"/>
    <mergeCell ref="E4:F4"/>
    <mergeCell ref="I4:O4"/>
    <mergeCell ref="P4:V4"/>
    <mergeCell ref="W4:AC4"/>
    <mergeCell ref="AD4:AJ4"/>
    <mergeCell ref="AK4:AQ4"/>
    <mergeCell ref="AR4:AX4"/>
    <mergeCell ref="AY4:BE4"/>
    <mergeCell ref="BF4:BL4"/>
    <mergeCell ref="B8:BL8"/>
    <mergeCell ref="B13:BL13"/>
    <mergeCell ref="B18:BL18"/>
  </mergeCells>
  <conditionalFormatting sqref="D14:D17 D7 D9:D12 D19:D24">
    <cfRule type="dataBar" priority="2">
      <dataBar showValue="1" minLength="10" maxLength="90">
        <cfvo type="num" val="0"/>
        <cfvo type="num" val="1"/>
        <color rgb="FFBFBFBF"/>
      </dataBar>
      <extLst>
        <ext xmlns:x14="http://schemas.microsoft.com/office/spreadsheetml/2009/9/main" uri="{B025F937-C7B1-47D3-B67F-A62EFF666E3E}">
          <x14:id>{99E7B69E-F8A3-4F51-80FF-D0C34060A9E3}</x14:id>
        </ext>
      </extLst>
    </cfRule>
  </conditionalFormatting>
  <conditionalFormatting sqref="I7:BL7 I14:BL17 I9:BL12 I19:BL24">
    <cfRule type="expression" priority="3" aboveAverage="0" equalAverage="0" bottom="0" percent="0" rank="0" text="" dxfId="0">
      <formula>AND(début_tâche&lt;=I$5,ROUNDDOWN((fin_tâche-début_tâche+1)*avancement_tâche,0)+début_tâche-1&gt;=I$5)</formula>
    </cfRule>
    <cfRule type="expression" priority="4" aboveAverage="0" equalAverage="0" bottom="0" percent="0" rank="0" text="" dxfId="1">
      <formula>AND(fin_tâche&gt;=I$5,début_tâche&lt;J$5)</formula>
    </cfRule>
  </conditionalFormatting>
  <conditionalFormatting sqref="I5:BL7 I14:BL17 I9:BL12 I19:BL24">
    <cfRule type="expression" priority="5" aboveAverage="0" equalAverage="0" bottom="0" percent="0" rank="0" text="" dxfId="2">
      <formula>AND(TODAY()&gt;=I$5,TODAY()&lt;J$5)</formula>
    </cfRule>
  </conditionalFormatting>
  <dataValidations count="1">
    <dataValidation allowBlank="true" errorStyle="stop" operator="greaterThanOrEqual" prompt="La modification de ce nombre entraînera la défilement du diagramme de Gantt." promptTitle="Semaine d’affichage" showDropDown="false" showErrorMessage="false" showInputMessage="true" sqref="E4" type="whole">
      <formula1>1</formula1>
      <formula2>0</formula2>
    </dataValidation>
  </dataValidations>
  <printOptions headings="false" gridLines="false" gridLinesSet="true" horizontalCentered="true" verticalCentered="false"/>
  <pageMargins left="0.35" right="0.35" top="0.35" bottom="0.347222222222222" header="0.511811023622047" footer="0.3"/>
  <pageSetup paperSize="9"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rowBreaks count="1" manualBreakCount="1">
    <brk id="23" man="true" max="16383" min="0"/>
  </rowBreaks>
  <colBreaks count="1" manualBreakCount="1">
    <brk id="2" man="true" max="65535" min="0"/>
  </colBreaks>
  <extLst>
    <ext xmlns:x14="http://schemas.microsoft.com/office/spreadsheetml/2009/9/main" uri="{78C0D931-6437-407d-A8EE-F0AAD7539E65}">
      <x14:conditionalFormattings>
        <x14:conditionalFormatting xmlns:xm="http://schemas.microsoft.com/office/excel/2006/main">
          <x14:cfRule type="dataBar" id="{99E7B69E-F8A3-4F51-80FF-D0C34060A9E3}">
            <x14:dataBar minLength="10" maxLength="90" axisPosition="automatic" gradient="false">
              <x14:cfvo type="num">
                <xm:f>0</xm:f>
              </x14:cfvo>
              <x14:cfvo type="num">
                <xm:f>1</xm:f>
              </x14:cfvo>
              <x14:negativeFillColor rgb="FFFF0000"/>
              <x14:axisColor rgb="FF000000"/>
            </x14:dataBar>
          </x14:cfRule>
          <xm:sqref>D14:D17 D7 D9:D12 D19:D24</xm:sqref>
        </x14:conditionalFormatting>
      </x14:conditionalFormattings>
    </ext>
  </extLst>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1</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dc:creator/>
  <dc:description/>
  <dc:language>fr-FR</dc:language>
  <cp:lastModifiedBy/>
  <dcterms:modified xsi:type="dcterms:W3CDTF">2025-12-28T16:42:32Z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